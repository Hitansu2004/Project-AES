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Tracker" sheetId="1" state="visible" r:id="rId1"/>
    <sheet name="Team &amp; Contacts" sheetId="2" state="visible" r:id="rId2"/>
    <sheet name="Meetings" sheetId="3" state="visible" r:id="rId3"/>
    <sheet name="Payments" sheetId="4" state="visible" r:id="rId4"/>
    <sheet name="Progress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FFFFFF"/>
      <sz val="12"/>
    </font>
    <font>
      <b val="1"/>
      <i val="1"/>
      <color rgb="009C5700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808080"/>
      <sz val="11"/>
    </font>
    <font>
      <b val="1"/>
      <sz val="11"/>
    </font>
    <font>
      <name val="Calibri"/>
      <b val="1"/>
      <color rgb="00006100"/>
      <sz val="11"/>
    </font>
    <font>
      <name val="Calibri"/>
      <b val="1"/>
      <color rgb="009C5700"/>
      <sz val="11"/>
    </font>
    <font>
      <name val="Calibri"/>
      <b val="1"/>
      <color rgb="001F4E79"/>
      <sz val="11"/>
    </font>
    <font>
      <name val="Calibri"/>
      <b val="1"/>
      <color rgb="009C0006"/>
      <sz val="11"/>
    </font>
    <font>
      <name val="Calibri"/>
      <b val="1"/>
      <color rgb="00FFFFFF"/>
      <sz val="15"/>
    </font>
    <font>
      <b val="1"/>
      <color rgb="00FFFFFF"/>
      <sz val="13"/>
    </font>
    <font>
      <b val="1"/>
      <color rgb="009C5700"/>
      <sz val="13"/>
    </font>
    <font>
      <i val="1"/>
      <color rgb="00595959"/>
      <sz val="11"/>
    </font>
    <font>
      <b val="1"/>
      <color rgb="00006100"/>
      <sz val="12"/>
    </font>
    <font>
      <b val="1"/>
      <sz val="12"/>
    </font>
    <font>
      <b val="1"/>
      <color rgb="009C5700"/>
      <sz val="12"/>
    </font>
    <font>
      <b val="1"/>
      <color rgb="001F4E79"/>
      <sz val="12"/>
    </font>
    <font>
      <b val="1"/>
      <color rgb="009C0006"/>
      <sz val="12"/>
    </font>
    <font>
      <b val="1"/>
      <color rgb="00FFFFFF"/>
      <sz val="14"/>
    </font>
    <font>
      <b val="1"/>
      <color rgb="009C5700"/>
      <sz val="11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59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BF2FA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FFF9E6"/>
      </patternFill>
    </fill>
    <fill>
      <patternFill patternType="solid">
        <fgColor rgb="00C00000"/>
      </patternFill>
    </fill>
    <fill>
      <patternFill patternType="solid">
        <fgColor rgb="00D6E4F0"/>
      </patternFill>
    </fill>
    <fill>
      <patternFill patternType="solid">
        <fgColor rgb="002E7D32"/>
      </patternFill>
    </fill>
  </fills>
  <borders count="11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F8F00"/>
      </left>
      <right style="thin">
        <color rgb="00BF8F00"/>
      </right>
      <top style="thin">
        <color rgb="00BF8F00"/>
      </top>
      <bottom style="thin">
        <color rgb="00BF8F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9C5700"/>
      </left>
      <right style="thin">
        <color rgb="009C5700"/>
      </right>
      <top style="thin">
        <color rgb="009C5700"/>
      </top>
      <bottom style="thin">
        <color rgb="009C5700"/>
      </bottom>
    </border>
    <border>
      <left style="thin">
        <color rgb="00800000"/>
      </left>
      <right style="thin">
        <color rgb="00800000"/>
      </right>
      <top style="thin">
        <color rgb="00800000"/>
      </top>
      <bottom style="thin">
        <color rgb="0080000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8" borderId="3" applyAlignment="1" pivotButton="0" quotePrefix="0" xfId="0">
      <alignment horizontal="center" vertical="center"/>
    </xf>
    <xf numFmtId="0" fontId="10" fillId="9" borderId="3" applyAlignment="1" pivotButton="0" quotePrefix="0" xfId="0">
      <alignment horizontal="center" vertical="center"/>
    </xf>
    <xf numFmtId="0" fontId="11" fillId="10" borderId="3" applyAlignment="1" pivotButton="0" quotePrefix="0" xfId="0">
      <alignment horizontal="center" vertical="center"/>
    </xf>
    <xf numFmtId="0" fontId="12" fillId="11" borderId="3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6" fillId="12" borderId="3" applyAlignment="1" pivotButton="0" quotePrefix="0" xfId="0">
      <alignment horizontal="left" vertical="center" wrapText="1"/>
    </xf>
    <xf numFmtId="0" fontId="15" fillId="9" borderId="8" applyAlignment="1" pivotButton="0" quotePrefix="0" xfId="0">
      <alignment horizontal="center" vertical="center"/>
    </xf>
    <xf numFmtId="0" fontId="16" fillId="7" borderId="3" applyAlignment="1" pivotButton="0" quotePrefix="0" xfId="0">
      <alignment horizontal="left" vertical="center" wrapText="1"/>
    </xf>
    <xf numFmtId="0" fontId="4" fillId="2" borderId="3" applyAlignment="1" pivotButton="0" quotePrefix="0" xfId="0">
      <alignment horizontal="center" vertical="center" wrapText="1"/>
    </xf>
    <xf numFmtId="0" fontId="2" fillId="13" borderId="9" applyAlignment="1" pivotButton="0" quotePrefix="0" xfId="0">
      <alignment horizontal="center" vertical="center" wrapText="1"/>
    </xf>
    <xf numFmtId="0" fontId="17" fillId="8" borderId="3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19" fillId="9" borderId="3" applyAlignment="1" pivotButton="0" quotePrefix="0" xfId="0">
      <alignment horizontal="center" vertical="center"/>
    </xf>
    <xf numFmtId="0" fontId="20" fillId="10" borderId="3" applyAlignment="1" pivotButton="0" quotePrefix="0" xfId="0">
      <alignment horizontal="center" vertical="center"/>
    </xf>
    <xf numFmtId="0" fontId="21" fillId="11" borderId="3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18" fillId="14" borderId="3" applyAlignment="1" pivotButton="0" quotePrefix="0" xfId="0">
      <alignment horizontal="center" vertical="center"/>
    </xf>
    <xf numFmtId="0" fontId="22" fillId="15" borderId="10" applyAlignment="1" pivotButton="0" quotePrefix="0" xfId="0">
      <alignment horizontal="center" vertical="center"/>
    </xf>
    <xf numFmtId="0" fontId="23" fillId="9" borderId="8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name val="Calibri"/>
        <b val="1"/>
        <color rgb="00006100"/>
        <sz val="11"/>
      </font>
      <fill>
        <patternFill patternType="solid">
          <fgColor rgb="00C6EFCE"/>
        </patternFill>
      </fill>
    </dxf>
    <dxf>
      <font>
        <name val="Calibri"/>
        <b val="1"/>
        <color rgb="009C5700"/>
        <sz val="11"/>
      </font>
      <fill>
        <patternFill patternType="solid">
          <fgColor rgb="00FFEB9C"/>
        </patternFill>
      </fill>
    </dxf>
    <dxf>
      <font>
        <name val="Calibri"/>
        <b val="1"/>
        <color rgb="001F4E79"/>
        <sz val="11"/>
      </font>
      <fill>
        <patternFill patternType="solid">
          <fgColor rgb="00BDD7EE"/>
        </patternFill>
      </fill>
    </dxf>
    <dxf>
      <font>
        <name val="Calibri"/>
        <b val="1"/>
        <color rgb="009C0006"/>
        <sz val="11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Sprint 1  —  Task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'Progress Dashboard'!B3</f>
            </strRef>
          </tx>
          <spPr>
            <a:ln>
              <a:prstDash val="solid"/>
            </a:ln>
          </spPr>
          <cat>
            <numRef>
              <f>'Progress Dashboard'!$A$4:$A$7</f>
            </numRef>
          </cat>
          <val>
            <numRef>
              <f>'Progress Dashboard'!$B$4:$B$7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Sprint 1 — Screens by Platform (50 total)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'Progress Dashboard'!B11</f>
            </strRef>
          </tx>
          <spPr>
            <a:ln>
              <a:prstDash val="solid"/>
            </a:ln>
          </spPr>
          <cat>
            <numRef>
              <f>'Progress Dashboard'!$A$12:$A$15</f>
            </numRef>
          </cat>
          <val>
            <numRef>
              <f>'Progress Dashboard'!$B$12:$B$15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Platform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screens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1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10</row>
      <rowOff>0</rowOff>
    </from>
    <ext cx="61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40" customWidth="1" min="4" max="4"/>
    <col width="65" customWidth="1" min="5" max="5"/>
    <col width="12" customWidth="1" min="6" max="6"/>
    <col width="30" customWidth="1" min="7" max="7"/>
    <col width="14" customWidth="1" min="8" max="8"/>
    <col width="30" customWidth="1" min="9" max="9"/>
  </cols>
  <sheetData>
    <row r="1" ht="32" customHeight="1">
      <c r="A1" s="1" t="inlineStr">
        <is>
          <t>AES SERVICE APPLICATION  —  SPRINT 1  (DESIGN SPRINT)</t>
        </is>
      </c>
    </row>
    <row r="2" ht="24" customHeight="1">
      <c r="A2" s="2" t="inlineStr">
        <is>
          <t>Sprint No.:  1  —  Design Sprint</t>
        </is>
      </c>
      <c r="E2" s="2" t="inlineStr">
        <is>
          <t>Sprint Dates:  01 Jul 2026  →  14 Jul 2026</t>
        </is>
      </c>
    </row>
    <row r="3" ht="46" customHeight="1">
      <c r="A3" s="3" t="inlineStr">
        <is>
          <t>🎯  SPRINT 1 GOAL:  Deliver Figma hi-fi mockups for all 50 screens across 4 platforms (Desktop / Tablet / Android / iOS) based on the client's new design brief.  STRETCH:  Begin implementation of the design system in code if design bandwidth permits — otherwise implementation moves to Sprint 2.</t>
        </is>
      </c>
    </row>
    <row r="4" ht="32" customHeight="1">
      <c r="A4" s="4" t="inlineStr">
        <is>
          <t>Day</t>
        </is>
      </c>
      <c r="B4" s="4" t="inlineStr">
        <is>
          <t>Date</t>
        </is>
      </c>
      <c r="C4" s="4" t="inlineStr">
        <is>
          <t>Day of Week</t>
        </is>
      </c>
      <c r="D4" s="4" t="inlineStr">
        <is>
          <t>Task / Activity</t>
        </is>
      </c>
      <c r="E4" s="4" t="inlineStr">
        <is>
          <t>Description</t>
        </is>
      </c>
      <c r="F4" s="4" t="inlineStr">
        <is>
          <t>Owner</t>
        </is>
      </c>
      <c r="G4" s="4" t="inlineStr">
        <is>
          <t>Contact (if issue)</t>
        </is>
      </c>
      <c r="H4" s="4" t="inlineStr">
        <is>
          <t>Status</t>
        </is>
      </c>
      <c r="I4" s="4" t="inlineStr">
        <is>
          <t>Notes (client can add)</t>
        </is>
      </c>
    </row>
    <row r="5" ht="60" customHeight="1">
      <c r="A5" s="5" t="inlineStr">
        <is>
          <t>Day 1</t>
        </is>
      </c>
      <c r="B5" s="6" t="inlineStr">
        <is>
          <t>01 Jul 2026</t>
        </is>
      </c>
      <c r="C5" s="6" t="inlineStr">
        <is>
          <t>Wednesday</t>
        </is>
      </c>
      <c r="D5" s="7" t="inlineStr">
        <is>
          <t>Sprint 1 Planning + Design Brief Review</t>
        </is>
      </c>
      <c r="E5" s="8" t="inlineStr">
        <is>
          <t>Sprint 1 planning call at 10 AM. Walk through the client's new design brief for all 50 screens. Confirm platform breakdown (Desktop / Tablet / Android / iOS). Set up shared Figma workspace. Hand over the shared Excel tracker to Arial.</t>
        </is>
      </c>
      <c r="F5" s="5" t="inlineStr">
        <is>
          <t>Hitansu</t>
        </is>
      </c>
      <c r="G5" s="8" t="inlineStr">
        <is>
          <t>Hitansu — +91 98270 98057</t>
        </is>
      </c>
      <c r="H5" s="9" t="inlineStr">
        <is>
          <t>Done</t>
        </is>
      </c>
      <c r="I5" s="8" t="inlineStr"/>
    </row>
    <row r="6" ht="60" customHeight="1">
      <c r="A6" s="10" t="inlineStr">
        <is>
          <t>Day 2</t>
        </is>
      </c>
      <c r="B6" s="11" t="inlineStr">
        <is>
          <t>02 Jul 2026</t>
        </is>
      </c>
      <c r="C6" s="11" t="inlineStr">
        <is>
          <t>Thursday</t>
        </is>
      </c>
      <c r="D6" s="12" t="inlineStr">
        <is>
          <t>Design Tokens + Style Guide (Figma)</t>
        </is>
      </c>
      <c r="E6" s="13" t="inlineStr">
        <is>
          <t>Extract colours, typography, spacing scale, iconography, elevation and grid system from the client's design brief. Build a design-tokens Figma page (Foundations). Confirm dark/light mode strategy.</t>
        </is>
      </c>
      <c r="F6" s="10" t="inlineStr">
        <is>
          <t>Hitansu</t>
        </is>
      </c>
      <c r="G6" s="13" t="inlineStr">
        <is>
          <t>Hitansu — +91 98270 98057</t>
        </is>
      </c>
      <c r="H6" s="9" t="inlineStr">
        <is>
          <t>Done</t>
        </is>
      </c>
      <c r="I6" s="13" t="inlineStr"/>
    </row>
    <row r="7" ht="60" customHeight="1">
      <c r="A7" s="5" t="inlineStr">
        <is>
          <t>Day 3</t>
        </is>
      </c>
      <c r="B7" s="6" t="inlineStr">
        <is>
          <t>03 Jul 2026</t>
        </is>
      </c>
      <c r="C7" s="6" t="inlineStr">
        <is>
          <t>Friday</t>
        </is>
      </c>
      <c r="D7" s="7" t="inlineStr">
        <is>
          <t>Client Sync Meeting + Component Library (Figma)</t>
        </is>
      </c>
      <c r="E7" s="8" t="inlineStr">
        <is>
          <t>Today 3 PM: ad-hoc client sync — confirm design direction and any brand-asset updates. Then: build the shared Figma UI component library (buttons, inputs, cards, chips, nav bars, tabs, modals, toasts) so all 50 screens compose from the same primitives.</t>
        </is>
      </c>
      <c r="F7" s="5" t="inlineStr">
        <is>
          <t>Mahender</t>
        </is>
      </c>
      <c r="G7" s="8" t="inlineStr">
        <is>
          <t>Mahender — +91 79894 78549</t>
        </is>
      </c>
      <c r="H7" s="9" t="inlineStr">
        <is>
          <t>In Progress</t>
        </is>
      </c>
      <c r="I7" s="8" t="inlineStr"/>
    </row>
    <row r="8" ht="60" customHeight="1">
      <c r="A8" s="14" t="inlineStr">
        <is>
          <t>Day 4</t>
        </is>
      </c>
      <c r="B8" s="15" t="inlineStr">
        <is>
          <t>04 Jul 2026</t>
        </is>
      </c>
      <c r="C8" s="16" t="inlineStr">
        <is>
          <t>Saturday</t>
        </is>
      </c>
      <c r="D8" s="17" t="inlineStr">
        <is>
          <t>— Weekend —</t>
        </is>
      </c>
      <c r="E8" s="18" t="inlineStr">
        <is>
          <t>Off (Saturday)</t>
        </is>
      </c>
      <c r="F8" s="14" t="inlineStr">
        <is>
          <t>—</t>
        </is>
      </c>
      <c r="G8" s="18" t="inlineStr">
        <is>
          <t>—</t>
        </is>
      </c>
      <c r="H8" s="9" t="inlineStr">
        <is>
          <t>Pending</t>
        </is>
      </c>
      <c r="I8" s="18" t="inlineStr"/>
    </row>
    <row r="9" ht="60" customHeight="1">
      <c r="A9" s="14" t="inlineStr">
        <is>
          <t>Day 5</t>
        </is>
      </c>
      <c r="B9" s="15" t="inlineStr">
        <is>
          <t>05 Jul 2026</t>
        </is>
      </c>
      <c r="C9" s="16" t="inlineStr">
        <is>
          <t>Sunday</t>
        </is>
      </c>
      <c r="D9" s="17" t="inlineStr">
        <is>
          <t>— Weekend —</t>
        </is>
      </c>
      <c r="E9" s="18" t="inlineStr">
        <is>
          <t>Off (Sunday)</t>
        </is>
      </c>
      <c r="F9" s="14" t="inlineStr">
        <is>
          <t>—</t>
        </is>
      </c>
      <c r="G9" s="18" t="inlineStr">
        <is>
          <t>—</t>
        </is>
      </c>
      <c r="H9" s="9" t="inlineStr">
        <is>
          <t>Pending</t>
        </is>
      </c>
      <c r="I9" s="18" t="inlineStr"/>
    </row>
    <row r="10" ht="60" customHeight="1">
      <c r="A10" s="10" t="inlineStr">
        <is>
          <t>Day 6</t>
        </is>
      </c>
      <c r="B10" s="11" t="inlineStr">
        <is>
          <t>06 Jul 2026</t>
        </is>
      </c>
      <c r="C10" s="11" t="inlineStr">
        <is>
          <t>Monday</t>
        </is>
      </c>
      <c r="D10" s="12" t="inlineStr">
        <is>
          <t>Monday Sync + Desktop Screens 01–08 (Customer Portal)</t>
        </is>
      </c>
      <c r="E10" s="13" t="inlineStr">
        <is>
          <t>10 AM: Weekly Monday Sync with Arial (30 min Zoom). Then: hi-fi Desktop mockups — Customer Portal set (Home dashboard, Book Service wizard, Ticket detail, AMC viewer, Payment checkout, Profile, Notifications, Help &amp; Support).</t>
        </is>
      </c>
      <c r="F10" s="10" t="inlineStr">
        <is>
          <t>Both</t>
        </is>
      </c>
      <c r="G10" s="13" t="inlineStr">
        <is>
          <t>Mahender — +91 79894 78549  /  Hitansu — +91 98270 98057</t>
        </is>
      </c>
      <c r="H10" s="9" t="inlineStr">
        <is>
          <t>Upcoming</t>
        </is>
      </c>
      <c r="I10" s="13" t="inlineStr"/>
    </row>
    <row r="11" ht="60" customHeight="1">
      <c r="A11" s="5" t="inlineStr">
        <is>
          <t>Day 7</t>
        </is>
      </c>
      <c r="B11" s="6" t="inlineStr">
        <is>
          <t>07 Jul 2026</t>
        </is>
      </c>
      <c r="C11" s="6" t="inlineStr">
        <is>
          <t>Tuesday</t>
        </is>
      </c>
      <c r="D11" s="7" t="inlineStr">
        <is>
          <t>Desktop Screens 09–16 (Ops Manager + CRM Agent)</t>
        </is>
      </c>
      <c r="E11" s="8" t="inlineStr">
        <is>
          <t>Hi-fi Desktop mockups — Ops Manager triage board, engineer assign, tickets list, quote approval; CRM Agent workbench (offers, tickets, parts approval, customer 360, activity log).</t>
        </is>
      </c>
      <c r="F11" s="5" t="inlineStr">
        <is>
          <t>Hitansu</t>
        </is>
      </c>
      <c r="G11" s="8" t="inlineStr">
        <is>
          <t>Hitansu — +91 98270 98057</t>
        </is>
      </c>
      <c r="H11" s="9" t="inlineStr">
        <is>
          <t>Upcoming</t>
        </is>
      </c>
      <c r="I11" s="8" t="inlineStr"/>
    </row>
    <row r="12" ht="60" customHeight="1">
      <c r="A12" s="10" t="inlineStr">
        <is>
          <t>Day 8</t>
        </is>
      </c>
      <c r="B12" s="11" t="inlineStr">
        <is>
          <t>08 Jul 2026</t>
        </is>
      </c>
      <c r="C12" s="11" t="inlineStr">
        <is>
          <t>Wednesday</t>
        </is>
      </c>
      <c r="D12" s="12" t="inlineStr">
        <is>
          <t>Desktop Screens 17–20 (Admin + Analytics) + Interactive Prototype</t>
        </is>
      </c>
      <c r="E12" s="13" t="inlineStr">
        <is>
          <t>Hi-fi Desktop mockups — Admin Earnings dashboard, Revenue Trends, SLA Performance, Team Analytics + Exportable Reports. Wire up an interactive Figma prototype linking Desktop screens end-to-end.</t>
        </is>
      </c>
      <c r="F12" s="10" t="inlineStr">
        <is>
          <t>Hitansu</t>
        </is>
      </c>
      <c r="G12" s="13" t="inlineStr">
        <is>
          <t>Hitansu — +91 98270 98057</t>
        </is>
      </c>
      <c r="H12" s="9" t="inlineStr">
        <is>
          <t>Upcoming</t>
        </is>
      </c>
      <c r="I12" s="13" t="inlineStr"/>
    </row>
    <row r="13" ht="60" customHeight="1">
      <c r="A13" s="5" t="inlineStr">
        <is>
          <t>Day 9</t>
        </is>
      </c>
      <c r="B13" s="6" t="inlineStr">
        <is>
          <t>09 Jul 2026</t>
        </is>
      </c>
      <c r="C13" s="6" t="inlineStr">
        <is>
          <t>Thursday</t>
        </is>
      </c>
      <c r="D13" s="7" t="inlineStr">
        <is>
          <t>Tablet Screens 21–30 (all roles)</t>
        </is>
      </c>
      <c r="E13" s="8" t="inlineStr">
        <is>
          <t>Reflow the Desktop screens for Tablet canvas (768–1023px). Customer / Ops / CRM tablet variants — 10 screens total. Confirm responsive breakpoints with Arial.</t>
        </is>
      </c>
      <c r="F13" s="5" t="inlineStr">
        <is>
          <t>Hitansu</t>
        </is>
      </c>
      <c r="G13" s="8" t="inlineStr">
        <is>
          <t>Hitansu — +91 98270 98057</t>
        </is>
      </c>
      <c r="H13" s="9" t="inlineStr">
        <is>
          <t>Upcoming</t>
        </is>
      </c>
      <c r="I13" s="8" t="inlineStr"/>
    </row>
    <row r="14" ht="60" customHeight="1">
      <c r="A14" s="10" t="inlineStr">
        <is>
          <t>Day 10</t>
        </is>
      </c>
      <c r="B14" s="11" t="inlineStr">
        <is>
          <t>10 Jul 2026</t>
        </is>
      </c>
      <c r="C14" s="11" t="inlineStr">
        <is>
          <t>Friday</t>
        </is>
      </c>
      <c r="D14" s="12" t="inlineStr">
        <is>
          <t>Android Screens 31–40 + Mid-week Design Review</t>
        </is>
      </c>
      <c r="E14" s="13" t="inlineStr">
        <is>
          <t>Hi-fi Android mockups — Customer app (Home, Booking, Ticket detail, AMC, Payment) + Engineer app (My Jobs, Job detail, Live navigation, Parts checklist, Job-complete flow). Internal design review with Mahender before weekend.</t>
        </is>
      </c>
      <c r="F14" s="10" t="inlineStr">
        <is>
          <t>Hitansu</t>
        </is>
      </c>
      <c r="G14" s="13" t="inlineStr">
        <is>
          <t>Hitansu — +91 98270 98057</t>
        </is>
      </c>
      <c r="H14" s="9" t="inlineStr">
        <is>
          <t>Upcoming</t>
        </is>
      </c>
      <c r="I14" s="13" t="inlineStr"/>
    </row>
    <row r="15" ht="60" customHeight="1">
      <c r="A15" s="14" t="inlineStr">
        <is>
          <t>Day 11</t>
        </is>
      </c>
      <c r="B15" s="15" t="inlineStr">
        <is>
          <t>11 Jul 2026</t>
        </is>
      </c>
      <c r="C15" s="16" t="inlineStr">
        <is>
          <t>Saturday</t>
        </is>
      </c>
      <c r="D15" s="17" t="inlineStr">
        <is>
          <t>— Weekend —</t>
        </is>
      </c>
      <c r="E15" s="18" t="inlineStr">
        <is>
          <t>Off (Saturday)</t>
        </is>
      </c>
      <c r="F15" s="14" t="inlineStr">
        <is>
          <t>—</t>
        </is>
      </c>
      <c r="G15" s="18" t="inlineStr">
        <is>
          <t>—</t>
        </is>
      </c>
      <c r="H15" s="9" t="inlineStr">
        <is>
          <t>Pending</t>
        </is>
      </c>
      <c r="I15" s="18" t="inlineStr"/>
    </row>
    <row r="16" ht="60" customHeight="1">
      <c r="A16" s="14" t="inlineStr">
        <is>
          <t>Day 12</t>
        </is>
      </c>
      <c r="B16" s="15" t="inlineStr">
        <is>
          <t>12 Jul 2026</t>
        </is>
      </c>
      <c r="C16" s="16" t="inlineStr">
        <is>
          <t>Sunday</t>
        </is>
      </c>
      <c r="D16" s="17" t="inlineStr">
        <is>
          <t>— Weekend —</t>
        </is>
      </c>
      <c r="E16" s="18" t="inlineStr">
        <is>
          <t>Off (Sunday)</t>
        </is>
      </c>
      <c r="F16" s="14" t="inlineStr">
        <is>
          <t>—</t>
        </is>
      </c>
      <c r="G16" s="18" t="inlineStr">
        <is>
          <t>—</t>
        </is>
      </c>
      <c r="H16" s="9" t="inlineStr">
        <is>
          <t>Pending</t>
        </is>
      </c>
      <c r="I16" s="18" t="inlineStr"/>
    </row>
    <row r="17" ht="60" customHeight="1">
      <c r="A17" s="5" t="inlineStr">
        <is>
          <t>Day 13</t>
        </is>
      </c>
      <c r="B17" s="6" t="inlineStr">
        <is>
          <t>13 Jul 2026</t>
        </is>
      </c>
      <c r="C17" s="6" t="inlineStr">
        <is>
          <t>Monday</t>
        </is>
      </c>
      <c r="D17" s="7" t="inlineStr">
        <is>
          <t>Monday Sync + iOS Screens 41–50  +  STRETCH:  Begin design-system code</t>
        </is>
      </c>
      <c r="E17" s="8" t="inlineStr">
        <is>
          <t>10 AM: Weekly Monday Sync with Arial. Hi-fi iOS mockups — Customer app (5 screens) + Engineer app (5 screens) mirroring Android with iOS-native patterns (SF Symbols, navigation, etc.). STRETCH: if design bandwidth permits, begin implementing the design system in code (Tailwind theme + reusable React components for Desktop). Otherwise moves to Sprint 2.</t>
        </is>
      </c>
      <c r="F17" s="5" t="inlineStr">
        <is>
          <t>Both</t>
        </is>
      </c>
      <c r="G17" s="8" t="inlineStr">
        <is>
          <t>Mahender — +91 79894 78549  /  Hitansu — +91 98270 98057</t>
        </is>
      </c>
      <c r="H17" s="9" t="inlineStr">
        <is>
          <t>Upcoming</t>
        </is>
      </c>
      <c r="I17" s="8" t="inlineStr"/>
    </row>
    <row r="18" ht="60" customHeight="1">
      <c r="A18" s="10" t="inlineStr">
        <is>
          <t>Day 14</t>
        </is>
      </c>
      <c r="B18" s="11" t="inlineStr">
        <is>
          <t>14 Jul 2026</t>
        </is>
      </c>
      <c r="C18" s="11" t="inlineStr">
        <is>
          <t>Tuesday</t>
        </is>
      </c>
      <c r="D18" s="12" t="inlineStr">
        <is>
          <t>Sprint 1 Demo + Sign-off + Sprint 2 Planning</t>
        </is>
      </c>
      <c r="E18" s="13" t="inlineStr">
        <is>
          <t>30 min Zoom demo with Arial — walk through all 50 Figma screens across 4 platforms + interactive prototype. Sprint 1 sign-off form. If design-system code was started (STRETCH), demo the working component library. Decide Sprint 2 scope (full implementation of approved designs).</t>
        </is>
      </c>
      <c r="F18" s="10" t="inlineStr">
        <is>
          <t>Both</t>
        </is>
      </c>
      <c r="G18" s="13" t="inlineStr">
        <is>
          <t>Mahender — +91 79894 78549  /  Hitansu — +91 98270 98057</t>
        </is>
      </c>
      <c r="H18" s="9" t="inlineStr">
        <is>
          <t>Upcoming</t>
        </is>
      </c>
      <c r="I18" s="13" t="inlineStr"/>
    </row>
    <row r="21">
      <c r="A21" s="19" t="inlineStr">
        <is>
          <t>Status Legend:</t>
        </is>
      </c>
      <c r="B21" s="20" t="inlineStr">
        <is>
          <t>Done</t>
        </is>
      </c>
      <c r="C21" s="21" t="inlineStr">
        <is>
          <t>In Progress</t>
        </is>
      </c>
      <c r="D21" s="22" t="inlineStr">
        <is>
          <t>Upcoming / Pending</t>
        </is>
      </c>
      <c r="E21" s="23" t="inlineStr">
        <is>
          <t>Blocked</t>
        </is>
      </c>
    </row>
    <row r="24" ht="26" customHeight="1">
      <c r="A24" s="24" t="inlineStr">
        <is>
          <t>📐  Sprint 1 Screen Breakdown  —  50 screens total across 4 platforms</t>
        </is>
      </c>
    </row>
    <row r="25" ht="24" customHeight="1">
      <c r="A25" s="7" t="inlineStr">
        <is>
          <t>Desktop (Web Portal)</t>
        </is>
      </c>
      <c r="B25" s="25" t="n"/>
      <c r="C25" s="26" t="n"/>
      <c r="D25" s="5" t="inlineStr">
        <is>
          <t>20 screens</t>
        </is>
      </c>
      <c r="E25" s="8" t="inlineStr">
        <is>
          <t>Customer Portal 8 + Ops/CRM 8 + Admin/Analytics 4</t>
        </is>
      </c>
      <c r="F25" s="25" t="n"/>
      <c r="G25" s="25" t="n"/>
      <c r="H25" s="25" t="n"/>
      <c r="I25" s="26" t="n"/>
    </row>
    <row r="26" ht="24" customHeight="1">
      <c r="A26" s="12" t="inlineStr">
        <is>
          <t>Tablet</t>
        </is>
      </c>
      <c r="B26" s="25" t="n"/>
      <c r="C26" s="26" t="n"/>
      <c r="D26" s="10" t="inlineStr">
        <is>
          <t>10 screens</t>
        </is>
      </c>
      <c r="E26" s="13" t="inlineStr">
        <is>
          <t>Reflowed responsive layouts for Customer, Ops and CRM roles</t>
        </is>
      </c>
      <c r="F26" s="25" t="n"/>
      <c r="G26" s="25" t="n"/>
      <c r="H26" s="25" t="n"/>
      <c r="I26" s="26" t="n"/>
    </row>
    <row r="27" ht="24" customHeight="1">
      <c r="A27" s="7" t="inlineStr">
        <is>
          <t>Android</t>
        </is>
      </c>
      <c r="B27" s="25" t="n"/>
      <c r="C27" s="26" t="n"/>
      <c r="D27" s="5" t="inlineStr">
        <is>
          <t>10 screens</t>
        </is>
      </c>
      <c r="E27" s="8" t="inlineStr">
        <is>
          <t>Customer app 5 + Engineer app 5</t>
        </is>
      </c>
      <c r="F27" s="25" t="n"/>
      <c r="G27" s="25" t="n"/>
      <c r="H27" s="25" t="n"/>
      <c r="I27" s="26" t="n"/>
    </row>
    <row r="28" ht="24" customHeight="1">
      <c r="A28" s="12" t="inlineStr">
        <is>
          <t>iOS</t>
        </is>
      </c>
      <c r="B28" s="25" t="n"/>
      <c r="C28" s="26" t="n"/>
      <c r="D28" s="10" t="inlineStr">
        <is>
          <t>10 screens</t>
        </is>
      </c>
      <c r="E28" s="13" t="inlineStr">
        <is>
          <t>Customer app 5 + Engineer app 5 (native SF/SwiftUI patterns)</t>
        </is>
      </c>
      <c r="F28" s="25" t="n"/>
      <c r="G28" s="25" t="n"/>
      <c r="H28" s="25" t="n"/>
      <c r="I28" s="26" t="n"/>
    </row>
  </sheetData>
  <mergeCells count="17">
    <mergeCell ref="A25:C25"/>
    <mergeCell ref="A28:C28"/>
    <mergeCell ref="E26:I26"/>
    <mergeCell ref="D26"/>
    <mergeCell ref="E2:I2"/>
    <mergeCell ref="D25"/>
    <mergeCell ref="A1:I1"/>
    <mergeCell ref="E25:I25"/>
    <mergeCell ref="A27:C27"/>
    <mergeCell ref="E28:I28"/>
    <mergeCell ref="E27:I27"/>
    <mergeCell ref="A3:I3"/>
    <mergeCell ref="A2:D2"/>
    <mergeCell ref="D28"/>
    <mergeCell ref="D27"/>
    <mergeCell ref="A26:C26"/>
    <mergeCell ref="A24:I24"/>
  </mergeCells>
  <conditionalFormatting sqref="H5:H18">
    <cfRule type="cellIs" priority="1" operator="equal" dxfId="0" stopIfTrue="0">
      <formula>"Done"</formula>
    </cfRule>
    <cfRule type="cellIs" priority="2" operator="equal" dxfId="0" stopIfTrue="0">
      <formula>"Completed"</formula>
    </cfRule>
    <cfRule type="cellIs" priority="3" operator="equal" dxfId="0" stopIfTrue="0">
      <formula>"Paid"</formula>
    </cfRule>
    <cfRule type="cellIs" priority="4" operator="equal" dxfId="1" stopIfTrue="0">
      <formula>"In Progress"</formula>
    </cfRule>
    <cfRule type="cellIs" priority="5" operator="equal" dxfId="1" stopIfTrue="0">
      <formula>"Scheduled"</formula>
    </cfRule>
    <cfRule type="cellIs" priority="6" operator="equal" dxfId="2" stopIfTrue="0">
      <formula>"Pending"</formula>
    </cfRule>
    <cfRule type="cellIs" priority="7" operator="equal" dxfId="2" stopIfTrue="0">
      <formula>"Upcoming"</formula>
    </cfRule>
    <cfRule type="cellIs" priority="8" operator="equal" dxfId="2" stopIfTrue="0">
      <formula>"Not Started"</formula>
    </cfRule>
    <cfRule type="cellIs" priority="9" operator="equal" dxfId="2" stopIfTrue="0">
      <formula>"Stretch"</formula>
    </cfRule>
    <cfRule type="cellIs" priority="10" operator="equal" dxfId="3" stopIfTrue="0">
      <formula>"Blocked"</formula>
    </cfRule>
    <cfRule type="cellIs" priority="11" operator="equal" dxfId="3" stopIfTrue="0">
      <formula>"Overdue"</formula>
    </cfRule>
    <cfRule type="cellIs" priority="12" operator="equal" dxfId="3" stopIfTrue="0">
      <formula>"Delayed"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2" customWidth="1" min="3" max="3"/>
    <col width="20" customWidth="1" min="4" max="4"/>
    <col width="32" customWidth="1" min="5" max="5"/>
    <col width="32" customWidth="1" min="6" max="6"/>
  </cols>
  <sheetData>
    <row r="1" ht="32" customHeight="1">
      <c r="A1" s="27" t="inlineStr">
        <is>
          <t>TEAM &amp; CONTACTS  —  Who to reach for what</t>
        </is>
      </c>
    </row>
    <row r="2" ht="8" customHeight="1"/>
    <row r="3" ht="30" customHeight="1">
      <c r="A3" s="4" t="inlineStr">
        <is>
          <t>Name</t>
        </is>
      </c>
      <c r="B3" s="4" t="inlineStr">
        <is>
          <t>Role</t>
        </is>
      </c>
      <c r="C3" s="4" t="inlineStr">
        <is>
          <t>Owns / Responsible For</t>
        </is>
      </c>
      <c r="D3" s="4" t="inlineStr">
        <is>
          <t>Phone / WhatsApp</t>
        </is>
      </c>
      <c r="E3" s="4" t="inlineStr">
        <is>
          <t>Email</t>
        </is>
      </c>
      <c r="F3" s="4" t="inlineStr">
        <is>
          <t>Available Hours (IST)</t>
        </is>
      </c>
    </row>
    <row r="4" ht="60" customHeight="1">
      <c r="A4" s="5" t="inlineStr">
        <is>
          <t>Mahender Vengala</t>
        </is>
      </c>
      <c r="B4" s="8" t="inlineStr">
        <is>
          <t>Project Lead &amp; Delivery Manager</t>
        </is>
      </c>
      <c r="C4" s="8" t="inlineStr">
        <is>
          <t>Overall project delivery, client communication, design reviews, Razorpay integration, WhatsApp backend, deployment</t>
        </is>
      </c>
      <c r="D4" s="6" t="inlineStr">
        <is>
          <t>+91 79894 78549</t>
        </is>
      </c>
      <c r="E4" s="8" t="inlineStr">
        <is>
          <t>vengalamahender83@gmail.com</t>
        </is>
      </c>
      <c r="F4" s="8" t="inlineStr">
        <is>
          <t>Mon–Sat  09:30 – 19:30  (urgent 24×7 on WhatsApp)</t>
        </is>
      </c>
    </row>
    <row r="5" ht="60" customHeight="1">
      <c r="A5" s="10" t="inlineStr">
        <is>
          <t>Hitansu Parichha</t>
        </is>
      </c>
      <c r="B5" s="13" t="inlineStr">
        <is>
          <t>Technical Lead (Full-stack + DevOps + UI/UX)</t>
        </is>
      </c>
      <c r="C5" s="13" t="inlineStr">
        <is>
          <t>Figma design system, Frontend (Web / Android / iOS), backend APIs, DevOps, App Store / Play Store submissions</t>
        </is>
      </c>
      <c r="D5" s="11" t="inlineStr">
        <is>
          <t>+91 98270 98057</t>
        </is>
      </c>
      <c r="E5" s="13" t="inlineStr">
        <is>
          <t>hparichha@arialsolution.com</t>
        </is>
      </c>
      <c r="F5" s="13" t="inlineStr">
        <is>
          <t>Mon–Sat  09:30 – 19:30  (urgent 24×7 on WhatsApp)</t>
        </is>
      </c>
    </row>
    <row r="8" ht="26" customHeight="1">
      <c r="A8" s="28" t="inlineStr">
        <is>
          <t>When to contact whom</t>
        </is>
      </c>
    </row>
    <row r="9" ht="32" customHeight="1">
      <c r="A9" s="8" t="inlineStr">
        <is>
          <t>Figma design questions, screen feedback, component library changes</t>
        </is>
      </c>
      <c r="E9" s="5" t="inlineStr">
        <is>
          <t>Hitansu — +91 98270 98057  (first responder)</t>
        </is>
      </c>
    </row>
    <row r="10" ht="32" customHeight="1">
      <c r="A10" s="13" t="inlineStr">
        <is>
          <t>Any issue with the deployed app (down / slow / bug in production)</t>
        </is>
      </c>
      <c r="E10" s="10" t="inlineStr">
        <is>
          <t>Mahender — +91 79894 78549  (first responder)</t>
        </is>
      </c>
    </row>
    <row r="11" ht="32" customHeight="1">
      <c r="A11" s="8" t="inlineStr">
        <is>
          <t>Frontend / mobile UI bug, iOS or Android crash, App Store issue</t>
        </is>
      </c>
      <c r="E11" s="5" t="inlineStr">
        <is>
          <t>Hitansu — +91 98270 98057</t>
        </is>
      </c>
    </row>
    <row r="12" ht="32" customHeight="1">
      <c r="A12" s="13" t="inlineStr">
        <is>
          <t>Razorpay payment failure, WhatsApp not sending, SMS OTP not arriving</t>
        </is>
      </c>
      <c r="E12" s="10" t="inlineStr">
        <is>
          <t>Mahender — +91 79894 78549</t>
        </is>
      </c>
    </row>
    <row r="13" ht="32" customHeight="1">
      <c r="A13" s="8" t="inlineStr">
        <is>
          <t>AMC contract screen bug, engineer tracking map issue</t>
        </is>
      </c>
      <c r="E13" s="5" t="inlineStr">
        <is>
          <t>Hitansu — +91 98270 98057</t>
        </is>
      </c>
    </row>
    <row r="14" ht="32" customHeight="1">
      <c r="A14" s="13" t="inlineStr">
        <is>
          <t>Invoicing / payment milestone / commercial questions</t>
        </is>
      </c>
      <c r="E14" s="10" t="inlineStr">
        <is>
          <t>Mahender — +91 79894 78549</t>
        </is>
      </c>
    </row>
    <row r="15" ht="32" customHeight="1">
      <c r="A15" s="8" t="inlineStr">
        <is>
          <t>Server access / infra questions (Arial's server)</t>
        </is>
      </c>
      <c r="E15" s="5" t="inlineStr">
        <is>
          <t>Both — WhatsApp group</t>
        </is>
      </c>
    </row>
    <row r="16" ht="32" customHeight="1">
      <c r="A16" s="13" t="inlineStr">
        <is>
          <t>Feature request / new requirement (goes into next sprint backlog)</t>
        </is>
      </c>
      <c r="E16" s="10" t="inlineStr">
        <is>
          <t>Both — write in shared Excel tracker (Sheet 1 Notes column)</t>
        </is>
      </c>
    </row>
  </sheetData>
  <mergeCells count="18">
    <mergeCell ref="E12:F12"/>
    <mergeCell ref="A9:D9"/>
    <mergeCell ref="E16:F16"/>
    <mergeCell ref="E15:F15"/>
    <mergeCell ref="E10:F10"/>
    <mergeCell ref="A12:D12"/>
    <mergeCell ref="A1:F1"/>
    <mergeCell ref="E11:F11"/>
    <mergeCell ref="A8:F8"/>
    <mergeCell ref="A15:D15"/>
    <mergeCell ref="E13:F13"/>
    <mergeCell ref="E14:F14"/>
    <mergeCell ref="A16:D16"/>
    <mergeCell ref="A11:D11"/>
    <mergeCell ref="A10:D10"/>
    <mergeCell ref="E9:F9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40" customWidth="1" min="4" max="4"/>
    <col width="30" customWidth="1" min="5" max="5"/>
    <col width="50" customWidth="1" min="6" max="6"/>
    <col width="13" customWidth="1" min="7" max="7"/>
    <col width="55" customWidth="1" min="8" max="8"/>
  </cols>
  <sheetData>
    <row r="1" ht="32" customHeight="1">
      <c r="A1" s="27" t="inlineStr">
        <is>
          <t>MEETINGS &amp; CALLS  —  Weekly Monday cadence</t>
        </is>
      </c>
    </row>
    <row r="2" ht="8" customHeight="1"/>
    <row r="3" ht="34" customHeight="1">
      <c r="A3" s="4" t="inlineStr">
        <is>
          <t>Date</t>
        </is>
      </c>
      <c r="B3" s="4" t="inlineStr">
        <is>
          <t>Day</t>
        </is>
      </c>
      <c r="C3" s="4" t="inlineStr">
        <is>
          <t>Time (IST)</t>
        </is>
      </c>
      <c r="D3" s="4" t="inlineStr">
        <is>
          <t>Meeting Type</t>
        </is>
      </c>
      <c r="E3" s="4" t="inlineStr">
        <is>
          <t>Attendees</t>
        </is>
      </c>
      <c r="F3" s="4" t="inlineStr">
        <is>
          <t>Agenda</t>
        </is>
      </c>
      <c r="G3" s="4" t="inlineStr">
        <is>
          <t>Status</t>
        </is>
      </c>
      <c r="H3" s="4" t="inlineStr">
        <is>
          <t>Meeting Summary  (Arial to fill in)</t>
        </is>
      </c>
    </row>
    <row r="4" ht="70" customHeight="1">
      <c r="A4" s="5" t="inlineStr">
        <is>
          <t>01 Jul 2026</t>
        </is>
      </c>
      <c r="B4" s="6" t="inlineStr">
        <is>
          <t>Wednesday</t>
        </is>
      </c>
      <c r="C4" s="6" t="inlineStr">
        <is>
          <t>10:00 AM</t>
        </is>
      </c>
      <c r="D4" s="5" t="inlineStr">
        <is>
          <t>Sprint 1 Kick-off + Design Brief Walk-through</t>
        </is>
      </c>
      <c r="E4" s="8" t="inlineStr">
        <is>
          <t>Mahender, Hitansu, Pradeep (Arial)</t>
        </is>
      </c>
      <c r="F4" s="8" t="inlineStr">
        <is>
          <t>Sprint 1 planning, review of client's new design brief for 50 screens x 4 platforms, tracker handover.</t>
        </is>
      </c>
      <c r="G4" s="9" t="inlineStr">
        <is>
          <t>Done</t>
        </is>
      </c>
      <c r="H4" s="29" t="inlineStr">
        <is>
          <t>Sprint 1 committed as a DESIGN SPRINT. Scope: 50 hi-fi Figma screens across Desktop / Tablet / Android / iOS. Stretch: begin design-system code. Tracker handed over.</t>
        </is>
      </c>
    </row>
    <row r="5" ht="70" customHeight="1">
      <c r="A5" s="10" t="inlineStr">
        <is>
          <t>03 Jul 2026</t>
        </is>
      </c>
      <c r="B5" s="11" t="inlineStr">
        <is>
          <t>Friday</t>
        </is>
      </c>
      <c r="C5" s="11" t="inlineStr">
        <is>
          <t>03:00 PM</t>
        </is>
      </c>
      <c r="D5" s="10" t="inlineStr">
        <is>
          <t>Client Sync (Ad-hoc)  —  Design Direction Check</t>
        </is>
      </c>
      <c r="E5" s="13" t="inlineStr">
        <is>
          <t>Mahender, Hitansu, Pradeep (Arial)</t>
        </is>
      </c>
      <c r="F5" s="13" t="inlineStr">
        <is>
          <t>Confirm design direction from the client's brief. Any brand-asset updates. Approve component library approach.</t>
        </is>
      </c>
      <c r="G5" s="9" t="inlineStr">
        <is>
          <t>Done</t>
        </is>
      </c>
      <c r="H5" s="13" t="inlineStr">
        <is>
          <t>  </t>
        </is>
      </c>
    </row>
    <row r="6" ht="70" customHeight="1">
      <c r="A6" s="5" t="inlineStr">
        <is>
          <t>06 Jul 2026</t>
        </is>
      </c>
      <c r="B6" s="6" t="inlineStr">
        <is>
          <t>Monday</t>
        </is>
      </c>
      <c r="C6" s="6" t="inlineStr">
        <is>
          <t>10:00 AM</t>
        </is>
      </c>
      <c r="D6" s="5" t="inlineStr">
        <is>
          <t>Weekly Monday Sync  —  Desktop Progress Review</t>
        </is>
      </c>
      <c r="E6" s="8" t="inlineStr">
        <is>
          <t>Mahender, Hitansu, Pradeep (Arial)</t>
        </is>
      </c>
      <c r="F6" s="8" t="inlineStr">
        <is>
          <t>Progress on design tokens + component library. Kickoff of Desktop hi-fi mockups (screens 01–08 Customer Portal).</t>
        </is>
      </c>
      <c r="G6" s="9" t="inlineStr">
        <is>
          <t>Upcoming</t>
        </is>
      </c>
      <c r="H6" s="8" t="inlineStr">
        <is>
          <t>  </t>
        </is>
      </c>
    </row>
    <row r="7" ht="70" customHeight="1">
      <c r="A7" s="10" t="inlineStr">
        <is>
          <t>13 Jul 2026</t>
        </is>
      </c>
      <c r="B7" s="11" t="inlineStr">
        <is>
          <t>Monday</t>
        </is>
      </c>
      <c r="C7" s="11" t="inlineStr">
        <is>
          <t>10:00 AM</t>
        </is>
      </c>
      <c r="D7" s="10" t="inlineStr">
        <is>
          <t>Weekly Monday Sync  —  All-Platform Design Review</t>
        </is>
      </c>
      <c r="E7" s="13" t="inlineStr">
        <is>
          <t>Mahender, Hitansu, Pradeep (Arial)</t>
        </is>
      </c>
      <c r="F7" s="13" t="inlineStr">
        <is>
          <t>Review Desktop (20) + Tablet (10) + Android (10) screens. Prepare for iOS + Sprint demo. Discuss STRETCH: whether to begin implementation now or defer to Sprint 2.</t>
        </is>
      </c>
      <c r="G7" s="9" t="inlineStr">
        <is>
          <t>Upcoming</t>
        </is>
      </c>
      <c r="H7" s="13" t="inlineStr">
        <is>
          <t>  </t>
        </is>
      </c>
    </row>
    <row r="8" ht="70" customHeight="1">
      <c r="A8" s="5" t="inlineStr">
        <is>
          <t>14 Jul 2026</t>
        </is>
      </c>
      <c r="B8" s="6" t="inlineStr">
        <is>
          <t>Tuesday</t>
        </is>
      </c>
      <c r="C8" s="6" t="inlineStr">
        <is>
          <t>04:00 PM</t>
        </is>
      </c>
      <c r="D8" s="5" t="inlineStr">
        <is>
          <t>Sprint 1 Demo + Sign-off + Sprint 2 Planning</t>
        </is>
      </c>
      <c r="E8" s="8" t="inlineStr">
        <is>
          <t>Mahender, Hitansu, Pradeep, Kesav (Arial)</t>
        </is>
      </c>
      <c r="F8" s="8" t="inlineStr">
        <is>
          <t>Walk through all 50 Figma screens + interactive prototype. Demo design-system code (if STRETCH completed). Sprint 1 sign-off form. Plan Sprint 2 (full implementation of approved designs). Invoice for M2 milestone.</t>
        </is>
      </c>
      <c r="G8" s="9" t="inlineStr">
        <is>
          <t>Upcoming</t>
        </is>
      </c>
      <c r="H8" s="8" t="inlineStr">
        <is>
          <t>  </t>
        </is>
      </c>
    </row>
    <row r="9" ht="70" customHeight="1">
      <c r="A9" s="10" t="inlineStr">
        <is>
          <t>20 Jul 2026</t>
        </is>
      </c>
      <c r="B9" s="11" t="inlineStr">
        <is>
          <t>Monday</t>
        </is>
      </c>
      <c r="C9" s="11" t="inlineStr">
        <is>
          <t>10:00 AM</t>
        </is>
      </c>
      <c r="D9" s="10" t="inlineStr">
        <is>
          <t>Weekly Monday Sync  +  Sprint 2 Kickoff</t>
        </is>
      </c>
      <c r="E9" s="13" t="inlineStr">
        <is>
          <t>Mahender, Hitansu, Pradeep (Arial)</t>
        </is>
      </c>
      <c r="F9" s="13" t="inlineStr">
        <is>
          <t>Sprint 2 planning — full implementation of approved designs starting with Desktop, then Android, then iOS, then Tablet.</t>
        </is>
      </c>
      <c r="G9" s="9" t="inlineStr">
        <is>
          <t>Upcoming</t>
        </is>
      </c>
      <c r="H9" s="13" t="inlineStr">
        <is>
          <t>  </t>
        </is>
      </c>
    </row>
    <row r="10" ht="70" customHeight="1">
      <c r="A10" s="5" t="inlineStr">
        <is>
          <t>22 Jul 2026</t>
        </is>
      </c>
      <c r="B10" s="6" t="inlineStr">
        <is>
          <t>Wednesday</t>
        </is>
      </c>
      <c r="C10" s="6" t="inlineStr">
        <is>
          <t>03:00 PM</t>
        </is>
      </c>
      <c r="D10" s="5" t="inlineStr">
        <is>
          <t>Further Features Discussion (Phase 2)</t>
        </is>
      </c>
      <c r="E10" s="8" t="inlineStr">
        <is>
          <t>Mahender, Hitansu, Pradeep, Kesav (Arial)</t>
        </is>
      </c>
      <c r="F10" s="8" t="inlineStr">
        <is>
          <t>Discuss Phase 2 scope: inventory module, accounting integration, multi-language, IoT telemetry.</t>
        </is>
      </c>
      <c r="G10" s="9" t="inlineStr">
        <is>
          <t>Upcoming</t>
        </is>
      </c>
      <c r="H10" s="8" t="inlineStr">
        <is>
          <t>  </t>
        </is>
      </c>
    </row>
    <row r="11" ht="70" customHeight="1">
      <c r="A11" s="10" t="inlineStr">
        <is>
          <t>27 Jul 2026</t>
        </is>
      </c>
      <c r="B11" s="11" t="inlineStr">
        <is>
          <t>Monday</t>
        </is>
      </c>
      <c r="C11" s="11" t="inlineStr">
        <is>
          <t>10:00 AM</t>
        </is>
      </c>
      <c r="D11" s="10" t="inlineStr">
        <is>
          <t>Weekly Monday Sync  —  Sprint 2 Mid-point</t>
        </is>
      </c>
      <c r="E11" s="13" t="inlineStr">
        <is>
          <t>Mahender, Hitansu, Pradeep (Arial)</t>
        </is>
      </c>
      <c r="F11" s="13" t="inlineStr">
        <is>
          <t>Implementation progress on Desktop + Android. Blocker discussion.</t>
        </is>
      </c>
      <c r="G11" s="9" t="inlineStr">
        <is>
          <t>Upcoming</t>
        </is>
      </c>
      <c r="H11" s="13" t="inlineStr">
        <is>
          <t>  </t>
        </is>
      </c>
    </row>
    <row r="12" ht="70" customHeight="1">
      <c r="A12" s="5" t="inlineStr">
        <is>
          <t>28 Jul 2026</t>
        </is>
      </c>
      <c r="B12" s="6" t="inlineStr">
        <is>
          <t>Tuesday</t>
        </is>
      </c>
      <c r="C12" s="6" t="inlineStr">
        <is>
          <t>04:00 PM</t>
        </is>
      </c>
      <c r="D12" s="5" t="inlineStr">
        <is>
          <t>Sprint 2 Demo + Sign-off</t>
        </is>
      </c>
      <c r="E12" s="8" t="inlineStr">
        <is>
          <t>Mahender, Hitansu, Pradeep, Kesav (Arial)</t>
        </is>
      </c>
      <c r="F12" s="8" t="inlineStr">
        <is>
          <t>Demo of implemented Desktop + Android. Sign-off form. Invoice for M3 milestone.</t>
        </is>
      </c>
      <c r="G12" s="9" t="inlineStr">
        <is>
          <t>Upcoming</t>
        </is>
      </c>
      <c r="H12" s="8" t="inlineStr">
        <is>
          <t>  </t>
        </is>
      </c>
    </row>
    <row r="13" ht="70" customHeight="1">
      <c r="A13" s="10" t="inlineStr">
        <is>
          <t>03 Aug 2026</t>
        </is>
      </c>
      <c r="B13" s="11" t="inlineStr">
        <is>
          <t>Monday</t>
        </is>
      </c>
      <c r="C13" s="11" t="inlineStr">
        <is>
          <t>10:00 AM</t>
        </is>
      </c>
      <c r="D13" s="10" t="inlineStr">
        <is>
          <t>Weekly Monday Sync  +  Sprint 3 Kickoff</t>
        </is>
      </c>
      <c r="E13" s="13" t="inlineStr">
        <is>
          <t>Mahender, Hitansu, Pradeep (Arial)</t>
        </is>
      </c>
      <c r="F13" s="13" t="inlineStr">
        <is>
          <t>Sprint 3 planning — iOS + Tablet implementation + core backend wiring.</t>
        </is>
      </c>
      <c r="G13" s="9" t="inlineStr">
        <is>
          <t>Upcoming</t>
        </is>
      </c>
      <c r="H13" s="13" t="inlineStr">
        <is>
          <t>  </t>
        </is>
      </c>
    </row>
    <row r="16" ht="32" customHeight="1">
      <c r="A16" s="30" t="inlineStr">
        <is>
          <t>⭐  NEXT MONDAY SYNC:  06 Jul 2026 @ 10 AM IST  —  Desktop screens kickoff  (Mahender, Hitansu, Pradeep)</t>
        </is>
      </c>
    </row>
    <row r="18" ht="32" customHeight="1">
      <c r="A18" s="31" t="inlineStr">
        <is>
          <t>📝  Note for Arial team: After every meeting, please paste a short summary of what was discussed and any action items into the 'Meeting Summary' column (yellow cells).</t>
        </is>
      </c>
    </row>
  </sheetData>
  <mergeCells count="3">
    <mergeCell ref="A18:H18"/>
    <mergeCell ref="A16:H16"/>
    <mergeCell ref="A1:H1"/>
  </mergeCells>
  <conditionalFormatting sqref="G4:G13">
    <cfRule type="cellIs" priority="1" operator="equal" dxfId="0" stopIfTrue="0">
      <formula>"Done"</formula>
    </cfRule>
    <cfRule type="cellIs" priority="2" operator="equal" dxfId="0" stopIfTrue="0">
      <formula>"Completed"</formula>
    </cfRule>
    <cfRule type="cellIs" priority="3" operator="equal" dxfId="0" stopIfTrue="0">
      <formula>"Paid"</formula>
    </cfRule>
    <cfRule type="cellIs" priority="4" operator="equal" dxfId="1" stopIfTrue="0">
      <formula>"In Progress"</formula>
    </cfRule>
    <cfRule type="cellIs" priority="5" operator="equal" dxfId="1" stopIfTrue="0">
      <formula>"Scheduled"</formula>
    </cfRule>
    <cfRule type="cellIs" priority="6" operator="equal" dxfId="2" stopIfTrue="0">
      <formula>"Pending"</formula>
    </cfRule>
    <cfRule type="cellIs" priority="7" operator="equal" dxfId="2" stopIfTrue="0">
      <formula>"Upcoming"</formula>
    </cfRule>
    <cfRule type="cellIs" priority="8" operator="equal" dxfId="2" stopIfTrue="0">
      <formula>"Not Started"</formula>
    </cfRule>
    <cfRule type="cellIs" priority="9" operator="equal" dxfId="2" stopIfTrue="0">
      <formula>"Stretch"</formula>
    </cfRule>
    <cfRule type="cellIs" priority="10" operator="equal" dxfId="3" stopIfTrue="0">
      <formula>"Blocked"</formula>
    </cfRule>
    <cfRule type="cellIs" priority="11" operator="equal" dxfId="3" stopIfTrue="0">
      <formula>"Overdue"</formula>
    </cfRule>
    <cfRule type="cellIs" priority="12" operator="equal" dxfId="3" stopIfTrue="0">
      <formula>"Delayed"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8" customWidth="1" min="3" max="3"/>
    <col width="52" customWidth="1" min="4" max="4"/>
    <col width="22" customWidth="1" min="5" max="5"/>
    <col width="16" customWidth="1" min="6" max="6"/>
    <col width="14" customWidth="1" min="7" max="7"/>
  </cols>
  <sheetData>
    <row r="1" ht="32" customHeight="1">
      <c r="A1" s="27" t="inlineStr">
        <is>
          <t>PAYMENT SCHEDULE  —  Professional Package  ₹6,79,500</t>
        </is>
      </c>
    </row>
    <row r="2" ht="8" customHeight="1"/>
    <row r="3" ht="30" customHeight="1">
      <c r="A3" s="4" t="inlineStr">
        <is>
          <t>Milestone</t>
        </is>
      </c>
      <c r="B3" s="4" t="inlineStr">
        <is>
          <t>Amount (INR)</t>
        </is>
      </c>
      <c r="C3" s="4" t="inlineStr">
        <is>
          <t>%</t>
        </is>
      </c>
      <c r="D3" s="4" t="inlineStr">
        <is>
          <t>Trigger / Condition</t>
        </is>
      </c>
      <c r="E3" s="4" t="inlineStr">
        <is>
          <t>Expected Date</t>
        </is>
      </c>
      <c r="F3" s="4" t="inlineStr">
        <is>
          <t>Invoice Sent?</t>
        </is>
      </c>
      <c r="G3" s="4" t="inlineStr">
        <is>
          <t>Status</t>
        </is>
      </c>
    </row>
    <row r="4" ht="44" customHeight="1">
      <c r="A4" s="7" t="inlineStr">
        <is>
          <t>M1 — Kick-off</t>
        </is>
      </c>
      <c r="B4" s="5" t="inlineStr">
        <is>
          <t>₹1,35,900</t>
        </is>
      </c>
      <c r="C4" s="5" t="inlineStr">
        <is>
          <t>20%</t>
        </is>
      </c>
      <c r="D4" s="8" t="inlineStr">
        <is>
          <t>On signing of SOW v3</t>
        </is>
      </c>
      <c r="E4" s="6" t="inlineStr">
        <is>
          <t>30 Jun 2026</t>
        </is>
      </c>
      <c r="F4" s="6" t="inlineStr">
        <is>
          <t>Yes</t>
        </is>
      </c>
      <c r="G4" s="9" t="inlineStr">
        <is>
          <t>Paid</t>
        </is>
      </c>
    </row>
    <row r="5" ht="44" customHeight="1">
      <c r="A5" s="12" t="inlineStr">
        <is>
          <t>M2 — Sprint 1 (Design) Sign-off</t>
        </is>
      </c>
      <c r="B5" s="10" t="inlineStr">
        <is>
          <t>₹1,35,900</t>
        </is>
      </c>
      <c r="C5" s="10" t="inlineStr">
        <is>
          <t>20%</t>
        </is>
      </c>
      <c r="D5" s="13" t="inlineStr">
        <is>
          <t>All 50 Figma screens across 4 platforms approved by Arial</t>
        </is>
      </c>
      <c r="E5" s="11" t="inlineStr">
        <is>
          <t>14 Jul 2026</t>
        </is>
      </c>
      <c r="F5" s="11" t="inlineStr">
        <is>
          <t>Pending</t>
        </is>
      </c>
      <c r="G5" s="9" t="inlineStr">
        <is>
          <t>Upcoming</t>
        </is>
      </c>
    </row>
    <row r="6" ht="44" customHeight="1">
      <c r="A6" s="7" t="inlineStr">
        <is>
          <t>M3 — Sprint 2 (Implementation Start) Sign-off</t>
        </is>
      </c>
      <c r="B6" s="5" t="inlineStr">
        <is>
          <t>₹1,35,900</t>
        </is>
      </c>
      <c r="C6" s="5" t="inlineStr">
        <is>
          <t>20%</t>
        </is>
      </c>
      <c r="D6" s="8" t="inlineStr">
        <is>
          <t>Desktop + Android implementation demoed and signed off</t>
        </is>
      </c>
      <c r="E6" s="6" t="inlineStr">
        <is>
          <t>28 Jul 2026</t>
        </is>
      </c>
      <c r="F6" s="6" t="inlineStr">
        <is>
          <t>Pending</t>
        </is>
      </c>
      <c r="G6" s="9" t="inlineStr">
        <is>
          <t>Upcoming</t>
        </is>
      </c>
    </row>
    <row r="7" ht="44" customHeight="1">
      <c r="A7" s="12" t="inlineStr">
        <is>
          <t>M4 — Dev Complete / Demo</t>
        </is>
      </c>
      <c r="B7" s="10" t="inlineStr">
        <is>
          <t>₹1,35,900</t>
        </is>
      </c>
      <c r="C7" s="10" t="inlineStr">
        <is>
          <t>20%</t>
        </is>
      </c>
      <c r="D7" s="13" t="inlineStr">
        <is>
          <t>All platforms implemented on Staging, core modules live, demo sign-off</t>
        </is>
      </c>
      <c r="E7" s="11" t="inlineStr">
        <is>
          <t>22 Sep 2026 (end of Sprint 6)</t>
        </is>
      </c>
      <c r="F7" s="11" t="inlineStr">
        <is>
          <t>Pending</t>
        </is>
      </c>
      <c r="G7" s="9" t="inlineStr">
        <is>
          <t>Upcoming</t>
        </is>
      </c>
    </row>
    <row r="8" ht="44" customHeight="1">
      <c r="A8" s="7" t="inlineStr">
        <is>
          <t>M5 — UAT &amp; Go-Live</t>
        </is>
      </c>
      <c r="B8" s="5" t="inlineStr">
        <is>
          <t>₹1,35,900</t>
        </is>
      </c>
      <c r="C8" s="5" t="inlineStr">
        <is>
          <t>20%</t>
        </is>
      </c>
      <c r="D8" s="8" t="inlineStr">
        <is>
          <t>UAT sign-off, Play Store live, App Store live, Web live</t>
        </is>
      </c>
      <c r="E8" s="6" t="inlineStr">
        <is>
          <t>06 Oct 2026 (end of Sprint 7)</t>
        </is>
      </c>
      <c r="F8" s="6" t="inlineStr">
        <is>
          <t>Pending</t>
        </is>
      </c>
      <c r="G8" s="9" t="inlineStr">
        <is>
          <t>Upcoming</t>
        </is>
      </c>
    </row>
    <row r="9" ht="32" customHeight="1">
      <c r="A9" s="32" t="inlineStr">
        <is>
          <t>TOTAL</t>
        </is>
      </c>
      <c r="B9" s="32" t="inlineStr">
        <is>
          <t>₹6,79,500</t>
        </is>
      </c>
      <c r="C9" s="32" t="inlineStr">
        <is>
          <t>100%</t>
        </is>
      </c>
      <c r="D9" s="32" t="inlineStr">
        <is>
          <t>Full contract value  —  paid across 5 equal milestones of ₹1,35,900</t>
        </is>
      </c>
    </row>
    <row r="11" ht="50" customHeight="1">
      <c r="A11" s="33" t="inlineStr">
        <is>
          <t>💰  NEXT PAYMENT REQUEST:  M2 — Sprint 1 (Design) Sign-off  —  ₹1,35,900  —  Expected by 14 Jul 2026 (all 50 Figma screens approved). Please arrange NEFT / IMPS transfer within 5 business days of sign-off.</t>
        </is>
      </c>
    </row>
  </sheetData>
  <mergeCells count="3">
    <mergeCell ref="D9:G9"/>
    <mergeCell ref="A11:G11"/>
    <mergeCell ref="A1:G1"/>
  </mergeCells>
  <conditionalFormatting sqref="G4:G8">
    <cfRule type="cellIs" priority="1" operator="equal" dxfId="0" stopIfTrue="0">
      <formula>"Done"</formula>
    </cfRule>
    <cfRule type="cellIs" priority="2" operator="equal" dxfId="0" stopIfTrue="0">
      <formula>"Completed"</formula>
    </cfRule>
    <cfRule type="cellIs" priority="3" operator="equal" dxfId="0" stopIfTrue="0">
      <formula>"Paid"</formula>
    </cfRule>
    <cfRule type="cellIs" priority="4" operator="equal" dxfId="1" stopIfTrue="0">
      <formula>"In Progress"</formula>
    </cfRule>
    <cfRule type="cellIs" priority="5" operator="equal" dxfId="1" stopIfTrue="0">
      <formula>"Scheduled"</formula>
    </cfRule>
    <cfRule type="cellIs" priority="6" operator="equal" dxfId="2" stopIfTrue="0">
      <formula>"Pending"</formula>
    </cfRule>
    <cfRule type="cellIs" priority="7" operator="equal" dxfId="2" stopIfTrue="0">
      <formula>"Upcoming"</formula>
    </cfRule>
    <cfRule type="cellIs" priority="8" operator="equal" dxfId="2" stopIfTrue="0">
      <formula>"Not Started"</formula>
    </cfRule>
    <cfRule type="cellIs" priority="9" operator="equal" dxfId="2" stopIfTrue="0">
      <formula>"Stretch"</formula>
    </cfRule>
    <cfRule type="cellIs" priority="10" operator="equal" dxfId="3" stopIfTrue="0">
      <formula>"Blocked"</formula>
    </cfRule>
    <cfRule type="cellIs" priority="11" operator="equal" dxfId="3" stopIfTrue="0">
      <formula>"Overdue"</formula>
    </cfRule>
    <cfRule type="cellIs" priority="12" operator="equal" dxfId="3" stopIfTrue="0">
      <formula>"Delayed"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" customWidth="1" min="3" max="3"/>
    <col width="30" customWidth="1" min="4" max="4"/>
    <col width="30" customWidth="1" min="5" max="5"/>
    <col width="20" customWidth="1" min="6" max="6"/>
  </cols>
  <sheetData>
    <row r="1" ht="32" customHeight="1">
      <c r="A1" s="1" t="inlineStr">
        <is>
          <t>SPRINT 1 (DESIGN SPRINT)  —  PROGRESS DASHBOARD</t>
        </is>
      </c>
    </row>
    <row r="2" ht="8" customHeight="1"/>
    <row r="3" ht="26" customHeight="1">
      <c r="A3" s="4" t="inlineStr">
        <is>
          <t>Status</t>
        </is>
      </c>
      <c r="B3" s="4" t="inlineStr">
        <is>
          <t>Task Count</t>
        </is>
      </c>
    </row>
    <row r="4" ht="24" customHeight="1">
      <c r="A4" s="34" t="inlineStr">
        <is>
          <t>Done</t>
        </is>
      </c>
      <c r="B4" s="35" t="n">
        <v>2</v>
      </c>
    </row>
    <row r="5" ht="24" customHeight="1">
      <c r="A5" s="36" t="inlineStr">
        <is>
          <t>In Progress</t>
        </is>
      </c>
      <c r="B5" s="35" t="n">
        <v>1</v>
      </c>
    </row>
    <row r="6" ht="24" customHeight="1">
      <c r="A6" s="37" t="inlineStr">
        <is>
          <t>Pending / Upcoming</t>
        </is>
      </c>
      <c r="B6" s="35" t="n">
        <v>11</v>
      </c>
    </row>
    <row r="7" ht="24" customHeight="1">
      <c r="A7" s="38" t="inlineStr">
        <is>
          <t>Blocked</t>
        </is>
      </c>
      <c r="B7" s="35" t="n">
        <v>0</v>
      </c>
    </row>
    <row r="8">
      <c r="A8" s="39" t="inlineStr">
        <is>
          <t>TOTAL</t>
        </is>
      </c>
      <c r="B8" s="39">
        <f>SUM(B4:B7)</f>
        <v/>
      </c>
    </row>
    <row r="11" ht="26" customHeight="1">
      <c r="A11" s="4" t="inlineStr">
        <is>
          <t>Platform</t>
        </is>
      </c>
      <c r="B11" s="4" t="inlineStr">
        <is>
          <t>Screens</t>
        </is>
      </c>
    </row>
    <row r="12" ht="22" customHeight="1">
      <c r="A12" s="40" t="inlineStr">
        <is>
          <t>Desktop (Web)</t>
        </is>
      </c>
      <c r="B12" s="35" t="n">
        <v>20</v>
      </c>
    </row>
    <row r="13" ht="22" customHeight="1">
      <c r="A13" s="40" t="inlineStr">
        <is>
          <t>Tablet</t>
        </is>
      </c>
      <c r="B13" s="35" t="n">
        <v>10</v>
      </c>
    </row>
    <row r="14" ht="22" customHeight="1">
      <c r="A14" s="40" t="inlineStr">
        <is>
          <t>Android</t>
        </is>
      </c>
      <c r="B14" s="35" t="n">
        <v>10</v>
      </c>
    </row>
    <row r="15" ht="22" customHeight="1">
      <c r="A15" s="40" t="inlineStr">
        <is>
          <t>iOS</t>
        </is>
      </c>
      <c r="B15" s="35" t="n">
        <v>10</v>
      </c>
    </row>
    <row r="18" ht="36" customHeight="1">
      <c r="A18" s="41" t="inlineStr">
        <is>
          <t>✅  Sprint 1 Completion:  2 / 14 tasks done  =  14.3%</t>
        </is>
      </c>
    </row>
    <row r="20" ht="46" customHeight="1">
      <c r="A20" s="42" t="inlineStr">
        <is>
          <t>🚀  STRETCH GOAL:  If design bandwidth permits, begin implementing the design system in code (Tailwind theme + reusable React components) in the last 2 days of Sprint 1. Otherwise, implementation begins in Sprint 2.</t>
        </is>
      </c>
    </row>
  </sheetData>
  <mergeCells count="3">
    <mergeCell ref="A20:F20"/>
    <mergeCell ref="A1:F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2026-07-03T06:29:55Z</dcterms:created>
  <dcterms:modified xsi:type="dcterms:W3CDTF">2026-07-03T06:29:56Z</dcterms:modified>
</cp:coreProperties>
</file>